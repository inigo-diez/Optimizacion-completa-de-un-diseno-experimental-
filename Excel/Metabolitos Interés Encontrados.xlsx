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Optimización Diseño Experimental\"/>
    </mc:Choice>
  </mc:AlternateContent>
  <xr:revisionPtr revIDLastSave="0" documentId="13_ncr:1_{F6A17B45-9715-4759-BDE9-C74F6224FDB0}" xr6:coauthVersionLast="47" xr6:coauthVersionMax="47" xr10:uidLastSave="{00000000-0000-0000-0000-000000000000}"/>
  <bookViews>
    <workbookView xWindow="-108" yWindow="-108" windowWidth="23256" windowHeight="12456" xr2:uid="{374E1FB0-F49A-407A-99C6-A2FE1DFFC7C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</calcChain>
</file>

<file path=xl/sharedStrings.xml><?xml version="1.0" encoding="utf-8"?>
<sst xmlns="http://schemas.openxmlformats.org/spreadsheetml/2006/main" count="90" uniqueCount="31">
  <si>
    <t>Exp_1.CDF_NORM</t>
  </si>
  <si>
    <t>Exp_10.CDF_NORM</t>
  </si>
  <si>
    <t>Exp_11.CDF_NORM</t>
  </si>
  <si>
    <t>Exp_12.CDF_NORM</t>
  </si>
  <si>
    <t>Exp_13.CDF_NORM</t>
  </si>
  <si>
    <t>Exp_14.CDF_NORM</t>
  </si>
  <si>
    <t>Exp_15.CDF_NORM</t>
  </si>
  <si>
    <t>Exp_16.CDF_NORM</t>
  </si>
  <si>
    <t>Exp_17.CDF_NORM</t>
  </si>
  <si>
    <t>Exp_2.CDF_NORM</t>
  </si>
  <si>
    <t>Exp_3.CDF_NORM</t>
  </si>
  <si>
    <t>Exp_4.CDF_NORM</t>
  </si>
  <si>
    <t>Exp_5.CDF_NORM</t>
  </si>
  <si>
    <t>Exp_6.CDF_NORM</t>
  </si>
  <si>
    <t>Exp_7.CDF_NORM</t>
  </si>
  <si>
    <t>Exp_8.CDF_NORM</t>
  </si>
  <si>
    <t>Exp_9.CDF_NORM</t>
  </si>
  <si>
    <t>Acetic acid, methoxy-</t>
  </si>
  <si>
    <t>Methional</t>
  </si>
  <si>
    <t>p-Cresol</t>
  </si>
  <si>
    <t>Benzeneacetic acid</t>
  </si>
  <si>
    <t>Nonanoic acid</t>
  </si>
  <si>
    <t>Indole</t>
  </si>
  <si>
    <t>n-Decanoic acid</t>
  </si>
  <si>
    <t>Indole, 3-methyl-</t>
  </si>
  <si>
    <t>2H-Indol-2-one, 1,3-dihydro-</t>
  </si>
  <si>
    <t>Pentadecafluorooctanoic acid, pentadecyl ester</t>
  </si>
  <si>
    <t>Indole-3-propionitrile, α-formamido-</t>
  </si>
  <si>
    <t>Acetic acid ethenyl ester</t>
  </si>
  <si>
    <t>Ácido carboxílicos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</si>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</sst>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0" fillId="5" borderId="0" xfId="0" applyFill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74630D-2845-4DC4-8711-748938AC385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8EA8-87BC-4A85-B1BF-D5B277869799}">
  <dimension ref="A1:R26"/>
  <sheetViews>
    <sheetView tabSelected="1" workbookViewId="0">
      <selection activeCell="B12" sqref="B12"/>
    </sheetView>
  </sheetViews>
  <sheetFormatPr baseColWidth="10" defaultRowHeight="14.4" x14ac:dyDescent="0.3"/>
  <cols>
    <col min="1" max="1" width="37.5546875" customWidth="1"/>
    <col min="3" max="3" width="11.5546875" customWidth="1"/>
    <col min="4" max="4" width="11.44140625" customWidth="1"/>
  </cols>
  <sheetData>
    <row r="1" spans="1:18" x14ac:dyDescent="0.3">
      <c r="A1" s="5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x14ac:dyDescent="0.3">
      <c r="A2" s="3" t="s">
        <v>22</v>
      </c>
      <c r="B2" s="4">
        <v>63942228.506166346</v>
      </c>
      <c r="C2" s="4">
        <v>202790415.56983504</v>
      </c>
      <c r="D2" s="4">
        <v>104755131.63746093</v>
      </c>
      <c r="E2" s="4">
        <v>184085461.23734477</v>
      </c>
      <c r="F2" s="4">
        <v>162882293.10623139</v>
      </c>
      <c r="G2" s="4">
        <v>156682541.3704263</v>
      </c>
      <c r="H2" s="4">
        <v>178737252.54625583</v>
      </c>
      <c r="I2" s="4">
        <v>132108107.20620845</v>
      </c>
      <c r="J2" s="4">
        <v>85956113.236182392</v>
      </c>
      <c r="K2" s="4">
        <v>40208972.09803459</v>
      </c>
      <c r="L2" s="4">
        <v>71494528.355896622</v>
      </c>
      <c r="M2" s="4">
        <v>69357856.816287339</v>
      </c>
      <c r="N2" s="4">
        <v>197155414.28353289</v>
      </c>
      <c r="O2" s="4">
        <v>122085453.927518</v>
      </c>
      <c r="P2" s="4">
        <v>166999010.77513468</v>
      </c>
      <c r="Q2" s="4">
        <v>201054956.11442208</v>
      </c>
      <c r="R2" s="4">
        <v>1764153.9867670436</v>
      </c>
    </row>
    <row r="3" spans="1:18" x14ac:dyDescent="0.3">
      <c r="A3" s="3" t="s">
        <v>24</v>
      </c>
      <c r="B3" s="4">
        <v>58995628.147995956</v>
      </c>
      <c r="C3" s="4">
        <v>225186554.02542543</v>
      </c>
      <c r="D3" s="4">
        <v>136216608.95362681</v>
      </c>
      <c r="E3" s="4">
        <v>211705108.55512658</v>
      </c>
      <c r="F3" s="4">
        <v>159993151.49318042</v>
      </c>
      <c r="G3" s="4">
        <v>137551841.43278116</v>
      </c>
      <c r="H3" s="4">
        <v>212257110.78305143</v>
      </c>
      <c r="I3" s="4">
        <v>187016578.83523971</v>
      </c>
      <c r="J3" s="4">
        <v>87688776.365720496</v>
      </c>
      <c r="K3" s="4">
        <v>62133068.510117479</v>
      </c>
      <c r="L3" s="4">
        <v>88233142.518553823</v>
      </c>
      <c r="M3" s="4">
        <v>59869397.470839225</v>
      </c>
      <c r="N3" s="4">
        <v>219650748.97846895</v>
      </c>
      <c r="O3" s="4">
        <v>198653600.11920035</v>
      </c>
      <c r="P3" s="4">
        <v>95921941.022601724</v>
      </c>
      <c r="Q3" s="4">
        <v>167188979.65111563</v>
      </c>
      <c r="R3" s="4">
        <v>1530493.0304709624</v>
      </c>
    </row>
    <row r="4" spans="1:18" x14ac:dyDescent="0.3">
      <c r="A4" s="3" t="s">
        <v>25</v>
      </c>
      <c r="B4" s="4">
        <v>162611.41304351142</v>
      </c>
      <c r="C4" s="4">
        <v>3596230.2340869303</v>
      </c>
      <c r="D4" s="4">
        <v>888928.06022817292</v>
      </c>
      <c r="E4" s="4">
        <v>2348470.4550506454</v>
      </c>
      <c r="F4" s="4">
        <v>1335671.8396077822</v>
      </c>
      <c r="G4" s="4">
        <v>1326271.1749283301</v>
      </c>
      <c r="H4" s="4">
        <v>1612003.759435426</v>
      </c>
      <c r="I4" s="4">
        <v>1257129.950143737</v>
      </c>
      <c r="J4" s="4">
        <v>863993.76857507345</v>
      </c>
      <c r="K4" s="4">
        <v>216532.08839359364</v>
      </c>
      <c r="L4" s="4">
        <v>312014.91829374316</v>
      </c>
      <c r="M4" s="4">
        <v>200773.38231082098</v>
      </c>
      <c r="N4" s="4">
        <v>1903965.9810531158</v>
      </c>
      <c r="O4" s="4">
        <v>1622542.9291078788</v>
      </c>
      <c r="P4" s="4">
        <v>1643809.8499752358</v>
      </c>
      <c r="Q4" s="4">
        <v>1624068.406443262</v>
      </c>
      <c r="R4" s="4">
        <v>0</v>
      </c>
    </row>
    <row r="5" spans="1:18" x14ac:dyDescent="0.3">
      <c r="A5" s="3" t="s">
        <v>27</v>
      </c>
      <c r="B5" s="4">
        <v>961.69641227956083</v>
      </c>
      <c r="C5" s="4">
        <v>357330.75963008846</v>
      </c>
      <c r="D5" s="4">
        <v>26937.59085032712</v>
      </c>
      <c r="E5" s="4">
        <v>90647.503560072219</v>
      </c>
      <c r="F5" s="4">
        <v>24549.445655138257</v>
      </c>
      <c r="G5" s="4">
        <v>40064.780239699998</v>
      </c>
      <c r="H5" s="4">
        <v>79231.305654351134</v>
      </c>
      <c r="I5" s="4">
        <v>65274.098511831136</v>
      </c>
      <c r="J5" s="4">
        <v>31510.495891434246</v>
      </c>
      <c r="K5" s="4">
        <v>1569.2730421775234</v>
      </c>
      <c r="L5" s="4">
        <v>12168.971319179258</v>
      </c>
      <c r="M5" s="4">
        <v>0</v>
      </c>
      <c r="N5" s="4">
        <v>109320.02616196459</v>
      </c>
      <c r="O5" s="4">
        <v>70185.135680213833</v>
      </c>
      <c r="P5" s="4">
        <v>659730.30040980817</v>
      </c>
      <c r="Q5" s="4">
        <v>44940.745930384692</v>
      </c>
      <c r="R5" s="4">
        <v>0</v>
      </c>
    </row>
    <row r="6" spans="1:18" x14ac:dyDescent="0.3">
      <c r="A6" s="7" t="s">
        <v>30</v>
      </c>
      <c r="B6" s="6">
        <f>SUM(B2:B5)</f>
        <v>123101429.7636181</v>
      </c>
      <c r="C6" s="6">
        <f t="shared" ref="C6:R6" si="0">SUM(C2:C5)</f>
        <v>431930530.58897752</v>
      </c>
      <c r="D6" s="6">
        <f t="shared" si="0"/>
        <v>241887606.24216625</v>
      </c>
      <c r="E6" s="6">
        <f t="shared" si="0"/>
        <v>398229687.75108206</v>
      </c>
      <c r="F6" s="6">
        <f t="shared" si="0"/>
        <v>324235665.88467479</v>
      </c>
      <c r="G6" s="6">
        <f t="shared" si="0"/>
        <v>295600718.75837547</v>
      </c>
      <c r="H6" s="6">
        <f t="shared" si="0"/>
        <v>392685598.39439702</v>
      </c>
      <c r="I6" s="6">
        <f t="shared" si="0"/>
        <v>320447090.09010375</v>
      </c>
      <c r="J6" s="6">
        <f t="shared" si="0"/>
        <v>174540393.8663694</v>
      </c>
      <c r="K6" s="6">
        <f t="shared" si="0"/>
        <v>102560141.96958783</v>
      </c>
      <c r="L6" s="6">
        <f t="shared" si="0"/>
        <v>160051854.76406336</v>
      </c>
      <c r="M6" s="6">
        <f t="shared" si="0"/>
        <v>129428027.66943739</v>
      </c>
      <c r="N6" s="6">
        <f t="shared" si="0"/>
        <v>418819449.26921695</v>
      </c>
      <c r="O6" s="6">
        <f t="shared" si="0"/>
        <v>322431782.11150646</v>
      </c>
      <c r="P6" s="6">
        <f t="shared" si="0"/>
        <v>265224491.94812143</v>
      </c>
      <c r="Q6" s="6">
        <f t="shared" si="0"/>
        <v>369912944.91791135</v>
      </c>
      <c r="R6" s="6">
        <f t="shared" si="0"/>
        <v>3294647.017238006</v>
      </c>
    </row>
    <row r="8" spans="1:18" x14ac:dyDescent="0.3">
      <c r="A8" s="5" t="s">
        <v>19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2" t="s">
        <v>16</v>
      </c>
    </row>
    <row r="9" spans="1:18" x14ac:dyDescent="0.3">
      <c r="A9" s="3" t="s">
        <v>19</v>
      </c>
      <c r="B9" s="4">
        <v>498086263.06664687</v>
      </c>
      <c r="C9" s="4">
        <v>1081955280.0423341</v>
      </c>
      <c r="D9" s="4">
        <v>1044775850.6734499</v>
      </c>
      <c r="E9" s="4">
        <v>1239312595.3103354</v>
      </c>
      <c r="F9" s="4">
        <v>1087972549.1341314</v>
      </c>
      <c r="G9" s="4">
        <v>840377497.34374666</v>
      </c>
      <c r="H9" s="4">
        <v>1140219761.5459192</v>
      </c>
      <c r="I9" s="4">
        <v>1064490334.9727979</v>
      </c>
      <c r="J9" s="4">
        <v>836226619.74959624</v>
      </c>
      <c r="K9" s="4">
        <v>533098830.29887754</v>
      </c>
      <c r="L9" s="4">
        <v>675925659.39040124</v>
      </c>
      <c r="M9" s="4">
        <v>584584314.29222143</v>
      </c>
      <c r="N9" s="4">
        <v>1174337325.7937801</v>
      </c>
      <c r="O9" s="4">
        <v>1069365309.1612377</v>
      </c>
      <c r="P9" s="4">
        <v>820934315.70553648</v>
      </c>
      <c r="Q9" s="4">
        <v>1341889335.0645006</v>
      </c>
      <c r="R9" s="4">
        <v>1919.2984215665338</v>
      </c>
    </row>
    <row r="10" spans="1:18" x14ac:dyDescent="0.3">
      <c r="A10" s="3" t="s">
        <v>19</v>
      </c>
      <c r="B10" s="4">
        <v>129568.80545919412</v>
      </c>
      <c r="C10" s="4">
        <v>208790.9812782362</v>
      </c>
      <c r="D10" s="4">
        <v>107616.29550477119</v>
      </c>
      <c r="E10" s="4">
        <v>202223.75297344517</v>
      </c>
      <c r="F10" s="4">
        <v>263659.51493902423</v>
      </c>
      <c r="G10" s="4">
        <v>133809.84734214129</v>
      </c>
      <c r="H10" s="4">
        <v>180623.37750806121</v>
      </c>
      <c r="I10" s="4">
        <v>187050.7565306309</v>
      </c>
      <c r="J10" s="4">
        <v>210749.10757115687</v>
      </c>
      <c r="K10" s="4">
        <v>135757.99817857234</v>
      </c>
      <c r="L10" s="4">
        <v>128755.5914575473</v>
      </c>
      <c r="M10" s="4">
        <v>150066.65250995889</v>
      </c>
      <c r="N10" s="4">
        <v>187884.32302656054</v>
      </c>
      <c r="O10" s="4">
        <v>150258.35443789707</v>
      </c>
      <c r="P10" s="4">
        <v>294683.60627125646</v>
      </c>
      <c r="Q10" s="4">
        <v>209311.07978794683</v>
      </c>
      <c r="R10" s="4">
        <v>19980615.888468713</v>
      </c>
    </row>
    <row r="11" spans="1:18" x14ac:dyDescent="0.3">
      <c r="A11" s="6" t="s">
        <v>30</v>
      </c>
      <c r="B11" s="6">
        <f>SUM(B9:B10)</f>
        <v>498215831.87210608</v>
      </c>
      <c r="C11" s="6">
        <f t="shared" ref="C11:R11" si="1">SUM(C9:C10)</f>
        <v>1082164071.0236123</v>
      </c>
      <c r="D11" s="6">
        <f t="shared" si="1"/>
        <v>1044883466.9689547</v>
      </c>
      <c r="E11" s="6">
        <f t="shared" si="1"/>
        <v>1239514819.063309</v>
      </c>
      <c r="F11" s="6">
        <f t="shared" si="1"/>
        <v>1088236208.6490705</v>
      </c>
      <c r="G11" s="6">
        <f t="shared" si="1"/>
        <v>840511307.1910888</v>
      </c>
      <c r="H11" s="6">
        <f t="shared" si="1"/>
        <v>1140400384.9234273</v>
      </c>
      <c r="I11" s="6">
        <f t="shared" si="1"/>
        <v>1064677385.7293285</v>
      </c>
      <c r="J11" s="6">
        <f t="shared" si="1"/>
        <v>836437368.85716736</v>
      </c>
      <c r="K11" s="6">
        <f t="shared" si="1"/>
        <v>533234588.29705614</v>
      </c>
      <c r="L11" s="6">
        <f t="shared" si="1"/>
        <v>676054414.98185885</v>
      </c>
      <c r="M11" s="6">
        <f t="shared" si="1"/>
        <v>584734380.94473135</v>
      </c>
      <c r="N11" s="6">
        <f t="shared" si="1"/>
        <v>1174525210.1168067</v>
      </c>
      <c r="O11" s="6">
        <f t="shared" si="1"/>
        <v>1069515567.5156757</v>
      </c>
      <c r="P11" s="6">
        <f t="shared" si="1"/>
        <v>821228999.31180775</v>
      </c>
      <c r="Q11" s="6">
        <f t="shared" si="1"/>
        <v>1342098646.1442885</v>
      </c>
      <c r="R11" s="6">
        <f t="shared" si="1"/>
        <v>19982535.186890278</v>
      </c>
    </row>
    <row r="14" spans="1:18" x14ac:dyDescent="0.3">
      <c r="A14" s="5" t="s">
        <v>18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1" t="s">
        <v>14</v>
      </c>
      <c r="Q14" s="1" t="s">
        <v>15</v>
      </c>
      <c r="R14" s="2" t="s">
        <v>16</v>
      </c>
    </row>
    <row r="15" spans="1:18" x14ac:dyDescent="0.3">
      <c r="A15" s="3" t="s">
        <v>18</v>
      </c>
      <c r="B15" s="4">
        <v>4849.0376287635017</v>
      </c>
      <c r="C15" s="4">
        <v>5630431.277774483</v>
      </c>
      <c r="D15" s="4">
        <v>9194084.0663980767</v>
      </c>
      <c r="E15" s="4">
        <v>11116507.114885161</v>
      </c>
      <c r="F15" s="4">
        <v>9651782.3746009693</v>
      </c>
      <c r="G15" s="4">
        <v>11715731.657934448</v>
      </c>
      <c r="H15" s="4">
        <v>9566206.1428837534</v>
      </c>
      <c r="I15" s="4">
        <v>13498013.997233946</v>
      </c>
      <c r="J15" s="4">
        <v>832166.34675171901</v>
      </c>
      <c r="K15" s="4">
        <v>32067.443540503773</v>
      </c>
      <c r="L15" s="4">
        <v>30820.662842785146</v>
      </c>
      <c r="M15" s="4">
        <v>20410.480432914588</v>
      </c>
      <c r="N15" s="4">
        <v>10871875.379481835</v>
      </c>
      <c r="O15" s="4">
        <v>270786.62489266082</v>
      </c>
      <c r="P15" s="4">
        <v>665364.03386612225</v>
      </c>
      <c r="Q15" s="4">
        <v>7329675.6125693899</v>
      </c>
      <c r="R15" s="4">
        <v>2829.9483713096661</v>
      </c>
    </row>
    <row r="16" spans="1:18" x14ac:dyDescent="0.3">
      <c r="A16" s="3" t="s">
        <v>18</v>
      </c>
      <c r="B16" s="4">
        <v>3495192.6916137827</v>
      </c>
      <c r="C16" s="4">
        <v>0</v>
      </c>
      <c r="D16" s="4">
        <v>38480.782676421586</v>
      </c>
      <c r="E16" s="4">
        <v>77708.499912624815</v>
      </c>
      <c r="F16" s="4">
        <v>90442.338064218566</v>
      </c>
      <c r="G16" s="4">
        <v>67859.199504956967</v>
      </c>
      <c r="H16" s="4">
        <v>48585.497089158962</v>
      </c>
      <c r="I16" s="4">
        <v>75482.282400459546</v>
      </c>
      <c r="J16" s="4">
        <v>408531.7057898941</v>
      </c>
      <c r="K16" s="4">
        <v>196484.91579977114</v>
      </c>
      <c r="L16" s="4">
        <v>165690.07496508196</v>
      </c>
      <c r="M16" s="4">
        <v>246582.72841120453</v>
      </c>
      <c r="N16" s="4">
        <v>36456.436883815688</v>
      </c>
      <c r="O16" s="4">
        <v>33207.978893976062</v>
      </c>
      <c r="P16" s="4">
        <v>259257.43401282761</v>
      </c>
      <c r="Q16" s="4">
        <v>64349.977972241155</v>
      </c>
      <c r="R16" s="4">
        <v>12137.442204480227</v>
      </c>
    </row>
    <row r="17" spans="1:18" x14ac:dyDescent="0.3">
      <c r="A17" s="6" t="s">
        <v>30</v>
      </c>
      <c r="B17" s="6">
        <f>SUM(B15:B16)</f>
        <v>3500041.729242546</v>
      </c>
      <c r="C17" s="6">
        <f t="shared" ref="C17:R17" si="2">SUM(C15:C16)</f>
        <v>5630431.277774483</v>
      </c>
      <c r="D17" s="6">
        <f t="shared" si="2"/>
        <v>9232564.8490744978</v>
      </c>
      <c r="E17" s="6">
        <f t="shared" si="2"/>
        <v>11194215.614797786</v>
      </c>
      <c r="F17" s="6">
        <f t="shared" si="2"/>
        <v>9742224.7126651872</v>
      </c>
      <c r="G17" s="6">
        <f t="shared" si="2"/>
        <v>11783590.857439404</v>
      </c>
      <c r="H17" s="6">
        <f t="shared" si="2"/>
        <v>9614791.6399729121</v>
      </c>
      <c r="I17" s="6">
        <f t="shared" si="2"/>
        <v>13573496.279634405</v>
      </c>
      <c r="J17" s="6">
        <f t="shared" si="2"/>
        <v>1240698.0525416131</v>
      </c>
      <c r="K17" s="6">
        <f t="shared" si="2"/>
        <v>228552.35934027491</v>
      </c>
      <c r="L17" s="6">
        <f t="shared" si="2"/>
        <v>196510.73780786712</v>
      </c>
      <c r="M17" s="6">
        <f t="shared" si="2"/>
        <v>266993.2088441191</v>
      </c>
      <c r="N17" s="6">
        <f t="shared" si="2"/>
        <v>10908331.816365652</v>
      </c>
      <c r="O17" s="6">
        <f t="shared" si="2"/>
        <v>303994.6037866369</v>
      </c>
      <c r="P17" s="6">
        <f t="shared" si="2"/>
        <v>924621.46787894983</v>
      </c>
      <c r="Q17" s="6">
        <f t="shared" si="2"/>
        <v>7394025.590541631</v>
      </c>
      <c r="R17" s="6">
        <f t="shared" si="2"/>
        <v>14967.390575789894</v>
      </c>
    </row>
    <row r="19" spans="1:18" x14ac:dyDescent="0.3">
      <c r="A19" s="5" t="s">
        <v>29</v>
      </c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Q19" s="1" t="s">
        <v>15</v>
      </c>
      <c r="R19" s="2" t="s">
        <v>16</v>
      </c>
    </row>
    <row r="20" spans="1:18" x14ac:dyDescent="0.3">
      <c r="A20" s="3" t="s">
        <v>20</v>
      </c>
      <c r="B20" s="4">
        <v>19401.172584894739</v>
      </c>
      <c r="C20" s="4">
        <v>7551231.661098931</v>
      </c>
      <c r="D20" s="4">
        <v>906762.1615599494</v>
      </c>
      <c r="E20" s="4">
        <v>2538026.7519658343</v>
      </c>
      <c r="F20" s="4">
        <v>784932.81264805363</v>
      </c>
      <c r="G20" s="4">
        <v>1031240.7028145081</v>
      </c>
      <c r="H20" s="4">
        <v>1523236.1399929058</v>
      </c>
      <c r="I20" s="4">
        <v>1092861.3669274882</v>
      </c>
      <c r="J20" s="4">
        <v>272844.27954898414</v>
      </c>
      <c r="K20" s="4">
        <v>36919.322356320277</v>
      </c>
      <c r="L20" s="4">
        <v>183904.24347717335</v>
      </c>
      <c r="M20" s="4">
        <v>17874.137630317942</v>
      </c>
      <c r="N20" s="4">
        <v>2291447.4914897801</v>
      </c>
      <c r="O20" s="4">
        <v>2576905.8729981976</v>
      </c>
      <c r="P20" s="4">
        <v>656305.64399185509</v>
      </c>
      <c r="Q20" s="4">
        <v>3828110.6951842918</v>
      </c>
      <c r="R20" s="4">
        <v>2387.564188061499</v>
      </c>
    </row>
    <row r="21" spans="1:18" x14ac:dyDescent="0.3">
      <c r="A21" s="3" t="s">
        <v>21</v>
      </c>
      <c r="B21" s="4">
        <v>4791348.2402287312</v>
      </c>
      <c r="C21" s="4">
        <v>16071676.975286441</v>
      </c>
      <c r="D21" s="4">
        <v>10883500.889221631</v>
      </c>
      <c r="E21" s="4">
        <v>9138023.3982877694</v>
      </c>
      <c r="F21" s="4">
        <v>12367289.82610175</v>
      </c>
      <c r="G21" s="4">
        <v>15832825.049976382</v>
      </c>
      <c r="H21" s="4">
        <v>11493437.780695619</v>
      </c>
      <c r="I21" s="4">
        <v>12611161.162660781</v>
      </c>
      <c r="J21" s="4">
        <v>19545120.066985611</v>
      </c>
      <c r="K21" s="4">
        <v>6467936.0382103622</v>
      </c>
      <c r="L21" s="4">
        <v>2937690.230286391</v>
      </c>
      <c r="M21" s="4">
        <v>6027379.5387900434</v>
      </c>
      <c r="N21" s="4">
        <v>14354552.854000818</v>
      </c>
      <c r="O21" s="4">
        <v>12758735.161986995</v>
      </c>
      <c r="P21" s="4">
        <v>14349421.87552467</v>
      </c>
      <c r="Q21" s="4">
        <v>9403484.4364782851</v>
      </c>
      <c r="R21" s="4">
        <v>0</v>
      </c>
    </row>
    <row r="22" spans="1:18" x14ac:dyDescent="0.3">
      <c r="A22" s="3" t="s">
        <v>23</v>
      </c>
      <c r="B22" s="4">
        <v>26617.76249746445</v>
      </c>
      <c r="C22" s="4">
        <v>3110797.162547708</v>
      </c>
      <c r="D22" s="4">
        <v>155389.20161132794</v>
      </c>
      <c r="E22" s="4">
        <v>748656.8953618512</v>
      </c>
      <c r="F22" s="4">
        <v>151225.66363456391</v>
      </c>
      <c r="G22" s="4">
        <v>1062372.9304241256</v>
      </c>
      <c r="H22" s="4">
        <v>529039.84203680826</v>
      </c>
      <c r="I22" s="4">
        <v>428872.62218145601</v>
      </c>
      <c r="J22" s="4">
        <v>349886.30781441659</v>
      </c>
      <c r="K22" s="4">
        <v>35402.843519303889</v>
      </c>
      <c r="L22" s="4">
        <v>37835.802771147813</v>
      </c>
      <c r="M22" s="4">
        <v>36038.813143272702</v>
      </c>
      <c r="N22" s="4">
        <v>1621011.8535017632</v>
      </c>
      <c r="O22" s="4">
        <v>741277.16249711288</v>
      </c>
      <c r="P22" s="4">
        <v>193631.49974177161</v>
      </c>
      <c r="Q22" s="4">
        <v>411092.78162320767</v>
      </c>
      <c r="R22" s="4">
        <v>0</v>
      </c>
    </row>
    <row r="23" spans="1:18" x14ac:dyDescent="0.3">
      <c r="A23" s="3" t="s">
        <v>26</v>
      </c>
      <c r="B23" s="4">
        <v>55001.243351675774</v>
      </c>
      <c r="C23" s="4">
        <v>450407.87525337236</v>
      </c>
      <c r="D23" s="4">
        <v>175797.47062860255</v>
      </c>
      <c r="E23" s="4">
        <v>386182.1501553845</v>
      </c>
      <c r="F23" s="4">
        <v>129966.10808827062</v>
      </c>
      <c r="G23" s="4">
        <v>220211.14052807813</v>
      </c>
      <c r="H23" s="4">
        <v>269819.19033273443</v>
      </c>
      <c r="I23" s="4">
        <v>229354.96788264034</v>
      </c>
      <c r="J23" s="4">
        <v>110360.85425817313</v>
      </c>
      <c r="K23" s="4">
        <v>34640.57953776772</v>
      </c>
      <c r="L23" s="4">
        <v>76623.229162230724</v>
      </c>
      <c r="M23" s="4">
        <v>67726.152413088072</v>
      </c>
      <c r="N23" s="4">
        <v>460566.84446783486</v>
      </c>
      <c r="O23" s="4">
        <v>342693.83703774709</v>
      </c>
      <c r="P23" s="4">
        <v>264985.70540433546</v>
      </c>
      <c r="Q23" s="4">
        <v>210654.81504930713</v>
      </c>
      <c r="R23" s="4">
        <v>0</v>
      </c>
    </row>
    <row r="24" spans="1:18" x14ac:dyDescent="0.3">
      <c r="A24" s="4" t="s">
        <v>28</v>
      </c>
      <c r="B24" s="4">
        <v>2897.891154346702</v>
      </c>
      <c r="C24" s="4">
        <v>452198.06619350211</v>
      </c>
      <c r="D24" s="4">
        <v>36045.764573054032</v>
      </c>
      <c r="E24" s="4">
        <v>1310443.3038833428</v>
      </c>
      <c r="F24" s="4">
        <v>1520047.2821872712</v>
      </c>
      <c r="G24" s="4">
        <v>2034776.6486851117</v>
      </c>
      <c r="H24" s="4">
        <v>1398979.5314015949</v>
      </c>
      <c r="I24" s="4">
        <v>1452086.5969055044</v>
      </c>
      <c r="J24" s="4">
        <v>1549520.5017404484</v>
      </c>
      <c r="K24" s="4">
        <v>3287.2410955117057</v>
      </c>
      <c r="L24" s="4">
        <v>1960629.8089682688</v>
      </c>
      <c r="M24" s="4">
        <v>3937.2418064995186</v>
      </c>
      <c r="N24" s="4">
        <v>1330353.7929905462</v>
      </c>
      <c r="O24" s="4">
        <v>1477447.6820821355</v>
      </c>
      <c r="P24" s="4">
        <v>1001475.0347659091</v>
      </c>
      <c r="Q24" s="4">
        <v>958338.89985128469</v>
      </c>
      <c r="R24" s="4">
        <v>0</v>
      </c>
    </row>
    <row r="25" spans="1:18" x14ac:dyDescent="0.3">
      <c r="A25" s="3" t="s">
        <v>17</v>
      </c>
      <c r="B25" s="4">
        <v>277664.16958476673</v>
      </c>
      <c r="C25" s="4">
        <v>399320.02603627357</v>
      </c>
      <c r="D25" s="4">
        <v>3974308.3838762236</v>
      </c>
      <c r="E25" s="4">
        <v>326638.78145948361</v>
      </c>
      <c r="F25" s="4">
        <v>346586.77600844897</v>
      </c>
      <c r="G25" s="4">
        <v>343291.23253381805</v>
      </c>
      <c r="H25" s="4">
        <v>343968.14387060457</v>
      </c>
      <c r="I25" s="4">
        <v>351785.56420918321</v>
      </c>
      <c r="J25" s="4">
        <v>396476.15207457077</v>
      </c>
      <c r="K25" s="4">
        <v>306045.0357088687</v>
      </c>
      <c r="L25" s="4">
        <v>385578.83227770537</v>
      </c>
      <c r="M25" s="4">
        <v>398072.39644979039</v>
      </c>
      <c r="N25" s="4">
        <v>388054.24198134069</v>
      </c>
      <c r="O25" s="4">
        <v>3428178.1956486185</v>
      </c>
      <c r="P25" s="4">
        <v>503195.39504568028</v>
      </c>
      <c r="Q25" s="4">
        <v>464767.35636683012</v>
      </c>
      <c r="R25" s="4">
        <v>29624.988560254973</v>
      </c>
    </row>
    <row r="26" spans="1:18" x14ac:dyDescent="0.3">
      <c r="A26" s="6" t="s">
        <v>30</v>
      </c>
      <c r="B26" s="6">
        <f>SUM(B20:B25)</f>
        <v>5172930.4794018799</v>
      </c>
      <c r="C26" s="6">
        <f t="shared" ref="C26:R26" si="3">SUM(C20:C25)</f>
        <v>28035631.766416229</v>
      </c>
      <c r="D26" s="6">
        <f t="shared" si="3"/>
        <v>16131803.871470787</v>
      </c>
      <c r="E26" s="6">
        <f t="shared" si="3"/>
        <v>14447971.281113666</v>
      </c>
      <c r="F26" s="6">
        <f t="shared" si="3"/>
        <v>15300048.46866836</v>
      </c>
      <c r="G26" s="6">
        <f t="shared" si="3"/>
        <v>20524717.704962023</v>
      </c>
      <c r="H26" s="6">
        <f t="shared" si="3"/>
        <v>15558480.628330268</v>
      </c>
      <c r="I26" s="6">
        <f t="shared" si="3"/>
        <v>16166122.280767055</v>
      </c>
      <c r="J26" s="6">
        <f t="shared" si="3"/>
        <v>22224208.162422203</v>
      </c>
      <c r="K26" s="6">
        <f t="shared" si="3"/>
        <v>6884231.0604281342</v>
      </c>
      <c r="L26" s="6">
        <f t="shared" si="3"/>
        <v>5582262.1469429163</v>
      </c>
      <c r="M26" s="6">
        <f t="shared" si="3"/>
        <v>6551028.2802330125</v>
      </c>
      <c r="N26" s="6">
        <f t="shared" si="3"/>
        <v>20445987.078432083</v>
      </c>
      <c r="O26" s="6">
        <f t="shared" si="3"/>
        <v>21325237.912250806</v>
      </c>
      <c r="P26" s="6">
        <f t="shared" si="3"/>
        <v>16969015.154474221</v>
      </c>
      <c r="Q26" s="6">
        <f t="shared" si="3"/>
        <v>15276448.984553207</v>
      </c>
      <c r="R26" s="6">
        <f t="shared" si="3"/>
        <v>32012.552748316473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 Diez</dc:creator>
  <cp:lastModifiedBy>Iñigo Diez</cp:lastModifiedBy>
  <dcterms:created xsi:type="dcterms:W3CDTF">2026-03-14T17:11:12Z</dcterms:created>
  <dcterms:modified xsi:type="dcterms:W3CDTF">2026-03-14T21:23:55Z</dcterms:modified>
</cp:coreProperties>
</file>