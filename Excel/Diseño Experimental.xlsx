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Optimización Diseño Experimental\"/>
    </mc:Choice>
  </mc:AlternateContent>
  <xr:revisionPtr revIDLastSave="0" documentId="13_ncr:1_{BC7AD3B7-BF20-428C-8EC9-37A098EED430}" xr6:coauthVersionLast="47" xr6:coauthVersionMax="47" xr10:uidLastSave="{00000000-0000-0000-0000-000000000000}"/>
  <bookViews>
    <workbookView xWindow="-108" yWindow="-108" windowWidth="23256" windowHeight="12456" xr2:uid="{4CCB2931-0C32-4693-9943-C60D202E11CF}"/>
  </bookViews>
  <sheets>
    <sheet name="Diseño Experiment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I18" i="1"/>
  <c r="H18" i="1"/>
  <c r="F18" i="1"/>
  <c r="J17" i="1"/>
  <c r="I17" i="1"/>
  <c r="H17" i="1"/>
  <c r="F17" i="1"/>
  <c r="J16" i="1"/>
  <c r="I16" i="1"/>
  <c r="H16" i="1"/>
  <c r="F16" i="1"/>
  <c r="J15" i="1"/>
  <c r="I15" i="1"/>
  <c r="H15" i="1"/>
  <c r="F15" i="1"/>
  <c r="J14" i="1"/>
  <c r="I14" i="1"/>
  <c r="H14" i="1"/>
  <c r="F14" i="1"/>
  <c r="J13" i="1"/>
  <c r="I13" i="1"/>
  <c r="H13" i="1"/>
  <c r="F13" i="1"/>
  <c r="J12" i="1"/>
  <c r="I12" i="1"/>
  <c r="H12" i="1"/>
  <c r="F12" i="1"/>
  <c r="J11" i="1"/>
  <c r="I11" i="1"/>
  <c r="H11" i="1"/>
  <c r="F11" i="1"/>
  <c r="J10" i="1"/>
  <c r="I10" i="1"/>
  <c r="H10" i="1"/>
  <c r="F10" i="1"/>
  <c r="J9" i="1"/>
  <c r="I9" i="1"/>
  <c r="H9" i="1"/>
  <c r="F9" i="1"/>
  <c r="J8" i="1"/>
  <c r="I8" i="1"/>
  <c r="H8" i="1"/>
  <c r="F8" i="1"/>
  <c r="J7" i="1"/>
  <c r="I7" i="1"/>
  <c r="H7" i="1"/>
  <c r="F7" i="1"/>
  <c r="J6" i="1"/>
  <c r="I6" i="1"/>
  <c r="H6" i="1"/>
  <c r="F6" i="1"/>
  <c r="J5" i="1"/>
  <c r="I5" i="1"/>
  <c r="H5" i="1"/>
  <c r="F5" i="1"/>
  <c r="J4" i="1"/>
  <c r="I4" i="1"/>
  <c r="F4" i="1"/>
  <c r="J3" i="1"/>
  <c r="I3" i="1"/>
  <c r="H3" i="1"/>
  <c r="F3" i="1"/>
  <c r="J2" i="1"/>
  <c r="H2" i="1"/>
  <c r="F2" i="1"/>
</calcChain>
</file>

<file path=xl/sharedStrings.xml><?xml version="1.0" encoding="utf-8"?>
<sst xmlns="http://schemas.openxmlformats.org/spreadsheetml/2006/main" count="13" uniqueCount="10">
  <si>
    <t>Experimento</t>
  </si>
  <si>
    <t>t extracción</t>
  </si>
  <si>
    <t>t desorcion</t>
  </si>
  <si>
    <t>t incubación</t>
  </si>
  <si>
    <t>Minutos</t>
  </si>
  <si>
    <t>Peso</t>
  </si>
  <si>
    <t>Minimo</t>
  </si>
  <si>
    <t>Central</t>
  </si>
  <si>
    <t>Maximo</t>
  </si>
  <si>
    <t>Estrella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</si>
</sst>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family val="2"/>
    </font>
    <font>
      <b/>
      <i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1" fillId="0" borderId="0" xfId="0" applyFont="1"/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right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08EE-4BC1-4239-966C-610FE6842D72}">
  <dimension ref="A1:J18"/>
  <sheetViews>
    <sheetView tabSelected="1" workbookViewId="0">
      <selection sqref="A1:J18"/>
    </sheetView>
  </sheetViews>
  <sheetFormatPr baseColWidth="10" defaultRowHeight="14.4" x14ac:dyDescent="0.3"/>
  <sheetData>
    <row r="1" spans="1:10" x14ac:dyDescent="0.3">
      <c r="B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</v>
      </c>
      <c r="I1" s="1" t="s">
        <v>2</v>
      </c>
      <c r="J1" s="1" t="s">
        <v>3</v>
      </c>
    </row>
    <row r="2" spans="1:10" x14ac:dyDescent="0.3">
      <c r="A2" s="2" t="s">
        <v>6</v>
      </c>
      <c r="B2">
        <v>1</v>
      </c>
      <c r="C2" s="3">
        <v>30</v>
      </c>
      <c r="D2" s="3">
        <v>1</v>
      </c>
      <c r="E2" s="3">
        <v>5</v>
      </c>
      <c r="F2" s="14">
        <f t="shared" ref="F2:F18" si="0">60+(C2+D2+E2)</f>
        <v>96</v>
      </c>
      <c r="G2" s="12">
        <v>3.3099999999999997E-2</v>
      </c>
      <c r="H2" s="12">
        <f>30*60</f>
        <v>1800</v>
      </c>
      <c r="I2" s="12">
        <v>60</v>
      </c>
      <c r="J2" s="12">
        <f>5*60</f>
        <v>300</v>
      </c>
    </row>
    <row r="3" spans="1:10" x14ac:dyDescent="0.3">
      <c r="A3" s="5" t="s">
        <v>7</v>
      </c>
      <c r="B3">
        <v>2</v>
      </c>
      <c r="C3" s="3">
        <v>30</v>
      </c>
      <c r="D3" s="3">
        <v>1</v>
      </c>
      <c r="E3" s="6">
        <v>15</v>
      </c>
      <c r="F3" s="14">
        <f t="shared" si="0"/>
        <v>106</v>
      </c>
      <c r="G3" s="12">
        <v>3.2899999999999999E-2</v>
      </c>
      <c r="H3" s="12">
        <f>(C3*60)</f>
        <v>1800</v>
      </c>
      <c r="I3" s="12">
        <f>(D3*60)</f>
        <v>60</v>
      </c>
      <c r="J3" s="12">
        <f>(E3*60)</f>
        <v>900</v>
      </c>
    </row>
    <row r="4" spans="1:10" x14ac:dyDescent="0.3">
      <c r="A4" s="7" t="s">
        <v>8</v>
      </c>
      <c r="B4">
        <v>3</v>
      </c>
      <c r="C4" s="3">
        <v>30</v>
      </c>
      <c r="D4" s="6">
        <v>3</v>
      </c>
      <c r="E4" s="3">
        <v>5</v>
      </c>
      <c r="F4" s="14">
        <f t="shared" si="0"/>
        <v>98</v>
      </c>
      <c r="G4" s="12">
        <v>3.1899999999999998E-2</v>
      </c>
      <c r="H4" s="12">
        <v>1800</v>
      </c>
      <c r="I4" s="12">
        <f>D4*60</f>
        <v>180</v>
      </c>
      <c r="J4" s="12">
        <f>E4*60</f>
        <v>300</v>
      </c>
    </row>
    <row r="5" spans="1:10" ht="15.6" x14ac:dyDescent="0.3">
      <c r="A5" s="8" t="s">
        <v>9</v>
      </c>
      <c r="B5">
        <v>4</v>
      </c>
      <c r="C5" s="3">
        <v>30</v>
      </c>
      <c r="D5" s="6">
        <v>3</v>
      </c>
      <c r="E5" s="6">
        <v>15</v>
      </c>
      <c r="F5" s="14">
        <f t="shared" si="0"/>
        <v>108</v>
      </c>
      <c r="G5" s="12">
        <v>3.2199999999999999E-2</v>
      </c>
      <c r="H5" s="12">
        <f>(C5*60)</f>
        <v>1800</v>
      </c>
      <c r="I5" s="12">
        <f>(D5*60)</f>
        <v>180</v>
      </c>
      <c r="J5" s="12">
        <f>(E5*60)</f>
        <v>900</v>
      </c>
    </row>
    <row r="6" spans="1:10" x14ac:dyDescent="0.3">
      <c r="B6">
        <v>5</v>
      </c>
      <c r="C6" s="6">
        <v>120</v>
      </c>
      <c r="D6" s="3">
        <v>1</v>
      </c>
      <c r="E6" s="3">
        <v>5</v>
      </c>
      <c r="F6" s="14">
        <f t="shared" si="0"/>
        <v>186</v>
      </c>
      <c r="G6" s="12">
        <v>3.27E-2</v>
      </c>
      <c r="H6" s="12">
        <f>C6*60</f>
        <v>7200</v>
      </c>
      <c r="I6" s="12">
        <f>D6*60</f>
        <v>60</v>
      </c>
      <c r="J6" s="12">
        <f>E6*60</f>
        <v>300</v>
      </c>
    </row>
    <row r="7" spans="1:10" x14ac:dyDescent="0.3">
      <c r="B7">
        <v>6</v>
      </c>
      <c r="C7" s="6">
        <v>120</v>
      </c>
      <c r="D7" s="3">
        <v>1</v>
      </c>
      <c r="E7" s="6">
        <v>15</v>
      </c>
      <c r="F7" s="14">
        <f t="shared" si="0"/>
        <v>196</v>
      </c>
      <c r="G7" s="12">
        <v>3.3300000000000003E-2</v>
      </c>
      <c r="H7" s="12">
        <f>(C7*60)</f>
        <v>7200</v>
      </c>
      <c r="I7" s="12">
        <f>(D7*60)</f>
        <v>60</v>
      </c>
      <c r="J7" s="12">
        <f>(E7*60)</f>
        <v>900</v>
      </c>
    </row>
    <row r="8" spans="1:10" x14ac:dyDescent="0.3">
      <c r="B8">
        <v>7</v>
      </c>
      <c r="C8" s="6">
        <v>120</v>
      </c>
      <c r="D8" s="6">
        <v>3</v>
      </c>
      <c r="E8" s="3">
        <v>5</v>
      </c>
      <c r="F8" s="14">
        <f t="shared" si="0"/>
        <v>188</v>
      </c>
      <c r="G8" s="12">
        <v>3.2000000000000001E-2</v>
      </c>
      <c r="H8" s="12">
        <f>C8*60</f>
        <v>7200</v>
      </c>
      <c r="I8" s="12">
        <f>D8*60</f>
        <v>180</v>
      </c>
      <c r="J8" s="12">
        <f>E8*60</f>
        <v>300</v>
      </c>
    </row>
    <row r="9" spans="1:10" x14ac:dyDescent="0.3">
      <c r="B9">
        <v>8</v>
      </c>
      <c r="C9" s="6">
        <v>120</v>
      </c>
      <c r="D9" s="6">
        <v>3</v>
      </c>
      <c r="E9" s="6">
        <v>15</v>
      </c>
      <c r="F9" s="14">
        <f t="shared" si="0"/>
        <v>198</v>
      </c>
      <c r="G9" s="13">
        <v>3.39E-2</v>
      </c>
      <c r="H9" s="12">
        <f>(C9*60)</f>
        <v>7200</v>
      </c>
      <c r="I9" s="12">
        <f t="shared" ref="I9:J12" si="1">(D9*60)</f>
        <v>180</v>
      </c>
      <c r="J9" s="12">
        <f t="shared" si="1"/>
        <v>900</v>
      </c>
    </row>
    <row r="10" spans="1:10" ht="15.6" x14ac:dyDescent="0.3">
      <c r="B10">
        <v>9</v>
      </c>
      <c r="C10" s="9">
        <v>0.6</v>
      </c>
      <c r="D10" s="4">
        <v>2</v>
      </c>
      <c r="E10" s="4">
        <v>10.5</v>
      </c>
      <c r="F10" s="14">
        <f t="shared" si="0"/>
        <v>73.099999999999994</v>
      </c>
      <c r="G10" s="12">
        <v>3.3399999999999999E-2</v>
      </c>
      <c r="H10" s="12">
        <f>(C10*60)</f>
        <v>36</v>
      </c>
      <c r="I10" s="12">
        <f t="shared" si="1"/>
        <v>120</v>
      </c>
      <c r="J10" s="12">
        <f t="shared" si="1"/>
        <v>630</v>
      </c>
    </row>
    <row r="11" spans="1:10" x14ac:dyDescent="0.3">
      <c r="B11">
        <v>10</v>
      </c>
      <c r="C11" s="6">
        <v>120</v>
      </c>
      <c r="D11" s="4">
        <v>2</v>
      </c>
      <c r="E11" s="4">
        <v>10.5</v>
      </c>
      <c r="F11" s="14">
        <f t="shared" si="0"/>
        <v>192.5</v>
      </c>
      <c r="G11" s="12">
        <v>3.2899999999999999E-2</v>
      </c>
      <c r="H11" s="12">
        <f>(C11*60)</f>
        <v>7200</v>
      </c>
      <c r="I11" s="12">
        <f t="shared" si="1"/>
        <v>120</v>
      </c>
      <c r="J11" s="12">
        <f t="shared" si="1"/>
        <v>630</v>
      </c>
    </row>
    <row r="12" spans="1:10" ht="15.6" x14ac:dyDescent="0.3">
      <c r="B12">
        <v>11</v>
      </c>
      <c r="C12" s="4">
        <v>75</v>
      </c>
      <c r="D12" s="9">
        <v>0.3</v>
      </c>
      <c r="E12" s="4">
        <v>10.5</v>
      </c>
      <c r="F12" s="14">
        <f t="shared" si="0"/>
        <v>145.80000000000001</v>
      </c>
      <c r="G12" s="12">
        <v>3.2199999999999999E-2</v>
      </c>
      <c r="H12" s="12">
        <f>(C12*60)</f>
        <v>4500</v>
      </c>
      <c r="I12" s="12">
        <f t="shared" si="1"/>
        <v>18</v>
      </c>
      <c r="J12" s="12">
        <f t="shared" si="1"/>
        <v>630</v>
      </c>
    </row>
    <row r="13" spans="1:10" ht="15.6" x14ac:dyDescent="0.3">
      <c r="B13">
        <v>12</v>
      </c>
      <c r="C13" s="4">
        <v>75</v>
      </c>
      <c r="D13" s="9">
        <v>3.7</v>
      </c>
      <c r="E13" s="4">
        <v>10.5</v>
      </c>
      <c r="F13" s="14">
        <f t="shared" si="0"/>
        <v>149.19999999999999</v>
      </c>
      <c r="G13" s="12">
        <v>3.3000000000000002E-2</v>
      </c>
      <c r="H13" s="12">
        <f>C13*60</f>
        <v>4500</v>
      </c>
      <c r="I13" s="12">
        <f>D13*60</f>
        <v>222</v>
      </c>
      <c r="J13" s="12">
        <f>E13*60</f>
        <v>630</v>
      </c>
    </row>
    <row r="14" spans="1:10" ht="15.6" x14ac:dyDescent="0.3">
      <c r="B14">
        <v>13</v>
      </c>
      <c r="C14" s="4">
        <v>75</v>
      </c>
      <c r="D14" s="4">
        <v>2</v>
      </c>
      <c r="E14" s="9">
        <v>1.7</v>
      </c>
      <c r="F14" s="14">
        <f t="shared" si="0"/>
        <v>138.69999999999999</v>
      </c>
      <c r="G14" s="12">
        <v>3.3700000000000001E-2</v>
      </c>
      <c r="H14" s="12">
        <f>(C14*60)</f>
        <v>4500</v>
      </c>
      <c r="I14" s="12">
        <f>(D14*60)</f>
        <v>120</v>
      </c>
      <c r="J14" s="12">
        <f>(E14*60)</f>
        <v>102</v>
      </c>
    </row>
    <row r="15" spans="1:10" ht="15.6" x14ac:dyDescent="0.3">
      <c r="B15">
        <v>14</v>
      </c>
      <c r="C15" s="4">
        <v>75</v>
      </c>
      <c r="D15" s="4">
        <v>2</v>
      </c>
      <c r="E15" s="10">
        <v>10.5</v>
      </c>
      <c r="F15" s="14">
        <f t="shared" si="0"/>
        <v>147.5</v>
      </c>
      <c r="G15" s="12">
        <v>3.3700000000000001E-2</v>
      </c>
      <c r="H15" s="12">
        <f>C15*60</f>
        <v>4500</v>
      </c>
      <c r="I15" s="12">
        <f>D15*60</f>
        <v>120</v>
      </c>
      <c r="J15" s="12">
        <f>E15*60</f>
        <v>630</v>
      </c>
    </row>
    <row r="16" spans="1:10" x14ac:dyDescent="0.3">
      <c r="B16">
        <v>15</v>
      </c>
      <c r="C16" s="4">
        <v>75</v>
      </c>
      <c r="D16" s="4">
        <v>2</v>
      </c>
      <c r="E16" s="4">
        <v>10.5</v>
      </c>
      <c r="F16" s="14">
        <f t="shared" si="0"/>
        <v>147.5</v>
      </c>
      <c r="G16" s="12">
        <v>3.27E-2</v>
      </c>
      <c r="H16" s="12">
        <f>(C16*60)</f>
        <v>4500</v>
      </c>
      <c r="I16" s="12">
        <f>(D16*60)</f>
        <v>120</v>
      </c>
      <c r="J16" s="12">
        <f>(E16*60)</f>
        <v>630</v>
      </c>
    </row>
    <row r="17" spans="2:10" x14ac:dyDescent="0.3">
      <c r="B17">
        <v>16</v>
      </c>
      <c r="C17" s="4">
        <v>75</v>
      </c>
      <c r="D17" s="4">
        <v>2</v>
      </c>
      <c r="E17" s="4">
        <v>10.5</v>
      </c>
      <c r="F17" s="14">
        <f t="shared" si="0"/>
        <v>147.5</v>
      </c>
      <c r="G17" s="13">
        <v>3.3399999999999999E-2</v>
      </c>
      <c r="H17" s="12">
        <f>C17*60</f>
        <v>4500</v>
      </c>
      <c r="I17" s="12">
        <f t="shared" ref="I17:J18" si="2">D17*60</f>
        <v>120</v>
      </c>
      <c r="J17" s="12">
        <f t="shared" si="2"/>
        <v>630</v>
      </c>
    </row>
    <row r="18" spans="2:10" ht="15.6" x14ac:dyDescent="0.3">
      <c r="B18">
        <v>17</v>
      </c>
      <c r="C18" s="10">
        <v>75</v>
      </c>
      <c r="D18" s="4">
        <v>2</v>
      </c>
      <c r="E18" s="11">
        <v>19.2</v>
      </c>
      <c r="F18" s="14">
        <f t="shared" si="0"/>
        <v>156.19999999999999</v>
      </c>
      <c r="G18" s="12">
        <v>3.2500000000000001E-2</v>
      </c>
      <c r="H18" s="12">
        <f>C18*60</f>
        <v>4500</v>
      </c>
      <c r="I18" s="12">
        <f t="shared" si="2"/>
        <v>120</v>
      </c>
      <c r="J18" s="12">
        <f t="shared" si="2"/>
        <v>1152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Diseño Experimental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Iñigo Diez</dc:creator>
  <cp:lastModifiedBy>Iñigo Diez</cp:lastModifiedBy>
  <dcterms:created xsi:type="dcterms:W3CDTF">2026-03-13T19:18:00Z</dcterms:created>
  <dcterms:modified xsi:type="dcterms:W3CDTF">2026-03-13T20:32:52Z</dcterms:modified>
</cp:coreProperties>
</file>